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danielhug/qubit-lab/qubit-lab-new/public/qaoa-rqp/"/>
    </mc:Choice>
  </mc:AlternateContent>
  <xr:revisionPtr revIDLastSave="0" documentId="13_ncr:1_{E8E81F4A-9DEE-CE46-B696-CFFEB786C37F}" xr6:coauthVersionLast="47" xr6:coauthVersionMax="47" xr10:uidLastSave="{00000000-0000-0000-0000-000000000000}"/>
  <bookViews>
    <workbookView xWindow="53740" yWindow="6020" windowWidth="29400" windowHeight="17500" activeTab="3" xr2:uid="{00000000-000D-0000-FFFF-FFFF00000000}"/>
  </bookViews>
  <sheets>
    <sheet name="ReadMe" sheetId="1" r:id="rId1"/>
    <sheet name="Assets" sheetId="2" r:id="rId2"/>
    <sheet name="AnnualizedCovariance" sheetId="6" r:id="rId3"/>
    <sheet name="Settings"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 l="1"/>
  <c r="H5" i="2"/>
  <c r="H6" i="2"/>
  <c r="H7" i="2"/>
  <c r="H8" i="2"/>
  <c r="H9" i="2"/>
  <c r="H10" i="2"/>
  <c r="H11" i="2"/>
  <c r="H12" i="2"/>
  <c r="H13" i="2"/>
  <c r="H14" i="2"/>
  <c r="H15" i="2"/>
  <c r="H16" i="2"/>
  <c r="H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2" authorId="0" shapeId="0" xr:uid="{00000000-0006-0000-0100-000001000000}">
      <text>
        <r>
          <rPr>
            <sz val="11"/>
            <color theme="1"/>
            <rFont val="Calibri"/>
            <family val="2"/>
            <scheme val="minor"/>
          </rPr>
          <t>Unique identifier for each selectable option. Keep unique per row.</t>
        </r>
      </text>
    </comment>
    <comment ref="B2" authorId="0" shapeId="0" xr:uid="{00000000-0006-0000-0100-000002000000}">
      <text>
        <r>
          <rPr>
            <sz val="11"/>
            <color theme="1"/>
            <rFont val="Calibri"/>
            <family val="2"/>
            <scheme val="minor"/>
          </rPr>
          <t>Repeat the same ticker on multiple rows to create multiple selectable options for one asset.</t>
        </r>
      </text>
    </comment>
    <comment ref="E2" authorId="0" shapeId="0" xr:uid="{00000000-0006-0000-0100-000003000000}">
      <text>
        <r>
          <rPr>
            <sz val="11"/>
            <color theme="1"/>
            <rFont val="Calibri"/>
            <family val="2"/>
            <scheme val="minor"/>
          </rPr>
          <t>Optional grouping field. It is informational in the current processor.</t>
        </r>
      </text>
    </comment>
  </commentList>
</comments>
</file>

<file path=xl/sharedStrings.xml><?xml version="1.0" encoding="utf-8"?>
<sst xmlns="http://schemas.openxmlformats.org/spreadsheetml/2006/main" count="212" uniqueCount="146">
  <si>
    <t>Model and solver settings</t>
  </si>
  <si>
    <t>Key</t>
  </si>
  <si>
    <t>Value</t>
  </si>
  <si>
    <t>Description</t>
  </si>
  <si>
    <t>budget_usd</t>
  </si>
  <si>
    <t>Target total budget</t>
  </si>
  <si>
    <t>risk_free_rate_annual</t>
  </si>
  <si>
    <t>Annual risk-free rate used in excess-return reward</t>
  </si>
  <si>
    <t>lambda_budget</t>
  </si>
  <si>
    <t>Budget deviation penalty</t>
  </si>
  <si>
    <t>lambda_variance</t>
  </si>
  <si>
    <t>Variance contribution weight</t>
  </si>
  <si>
    <t>lambda_exclusive</t>
  </si>
  <si>
    <t>Unused in current notebook; kept for transparency</t>
  </si>
  <si>
    <t>top_n_export</t>
  </si>
  <si>
    <t>Number of candidate portfolios exported to overview sheets</t>
  </si>
  <si>
    <t>enable_qaoa</t>
  </si>
  <si>
    <t>1 = run QAOA, 0 = skip QAOA</t>
  </si>
  <si>
    <t>qaoa_p</t>
  </si>
  <si>
    <t>QAOA depth / number of layers</t>
  </si>
  <si>
    <t>qaoa_maxiter</t>
  </si>
  <si>
    <t>Optimizer iteration budget for QAOA</t>
  </si>
  <si>
    <t>qaoa_shots</t>
  </si>
  <si>
    <t>Shot count used when exact probability extraction is disabled</t>
  </si>
  <si>
    <t>qaoa_exact_probability_max_qubits</t>
  </si>
  <si>
    <t>Use exact qml.probs only if n is at or below this threshold</t>
  </si>
  <si>
    <t>qaoa_max_qubits_allowed</t>
  </si>
  <si>
    <t>Auto-skip QAOA if number of decision variables exceeds this threshold</t>
  </si>
  <si>
    <t>qaoa_export_mode</t>
  </si>
  <si>
    <t>top_k</t>
  </si>
  <si>
    <t>top_k or all_filtered</t>
  </si>
  <si>
    <t>qaoa_min_probability_to_export</t>
  </si>
  <si>
    <t>Exact-mode export ignores states below this probability</t>
  </si>
  <si>
    <t>qaoa_max_export_rows</t>
  </si>
  <si>
    <t>Maximum number of QAOA rows kept for export</t>
  </si>
  <si>
    <t>qaoa_export_feasible_only</t>
  </si>
  <si>
    <t>1 = only export states within feasibility tolerance</t>
  </si>
  <si>
    <t>qaoa_feasibility_budget_tolerance_usd</t>
  </si>
  <si>
    <t>Abs budget gap tolerance used by feasible-only export</t>
  </si>
  <si>
    <t>qaoa_export_sort_by</t>
  </si>
  <si>
    <t>probability</t>
  </si>
  <si>
    <t>probability, qubo_value, sharpe_like, portfolio_return, abs_budget_gap</t>
  </si>
  <si>
    <t>enable_classical_search</t>
  </si>
  <si>
    <t>1 = run classical local-search heuristic, 0 = skip it</t>
  </si>
  <si>
    <t>classical_max_qubits_allowed</t>
  </si>
  <si>
    <t>Auto-skip classical heuristic if number of decision variables exceeds this threshold</t>
  </si>
  <si>
    <t>classical_random_search_samples</t>
  </si>
  <si>
    <t>Number of random classical starts</t>
  </si>
  <si>
    <t>classical_local_search_starts</t>
  </si>
  <si>
    <t>Number of single-hot classical starts</t>
  </si>
  <si>
    <t>classical_max_neighbor_evals</t>
  </si>
  <si>
    <t>Safety cap on total 1-flip neighbor evaluations in greedy search</t>
  </si>
  <si>
    <t>overview_classical_pool</t>
  </si>
  <si>
    <t>How many classical candidates feed the combined overview pool</t>
  </si>
  <si>
    <t>overview_qaoa_pool</t>
  </si>
  <si>
    <t>How many QAOA candidates feed the combined overview pool</t>
  </si>
  <si>
    <t>result_candidate_limit_per_solver</t>
  </si>
  <si>
    <t>How many rows to write to each raw solver output sheet</t>
  </si>
  <si>
    <t>rng_seed</t>
  </si>
  <si>
    <t>Random seed for classical search and QAOA initialization</t>
  </si>
  <si>
    <t>qaoa_multistart_restarts</t>
  </si>
  <si>
    <t>qaoa_layerwise_warm_start</t>
  </si>
  <si>
    <t>qaoa_restart_perturbation</t>
  </si>
  <si>
    <t>qaoa_sampled_concentration_polish_enabled</t>
  </si>
  <si>
    <t>qaoa_exact_p1_presearch</t>
  </si>
  <si>
    <t>qaoa_exact_p1_presearch_max_qubits</t>
  </si>
  <si>
    <t>qaoa_exact_qubo_diagnostic_rows</t>
  </si>
  <si>
    <t>qaoa_concentration_polish_enabled</t>
  </si>
  <si>
    <t>qaoa_concentration_polish_max_qubits</t>
  </si>
  <si>
    <t>Workbook overview</t>
  </si>
  <si>
    <t>Selectable option universe (one row = one binary decision variable)</t>
  </si>
  <si>
    <t>decision_id</t>
  </si>
  <si>
    <t>Ticker</t>
  </si>
  <si>
    <t>Decision Type</t>
  </si>
  <si>
    <t>Company</t>
  </si>
  <si>
    <t>Asset Group</t>
  </si>
  <si>
    <t>Option Label</t>
  </si>
  <si>
    <t>Shares</t>
  </si>
  <si>
    <t>Expected Return Proxy</t>
  </si>
  <si>
    <t>Annual Volatility</t>
  </si>
  <si>
    <t>Current Price (USD)</t>
  </si>
  <si>
    <t>Mean Daily Return</t>
  </si>
  <si>
    <t>Std Daily Return</t>
  </si>
  <si>
    <t>Allowed</t>
  </si>
  <si>
    <t>NVDA_opt1</t>
  </si>
  <si>
    <t>NVDA</t>
  </si>
  <si>
    <t>fixed</t>
  </si>
  <si>
    <t>NVIDIA</t>
  </si>
  <si>
    <t>100k</t>
  </si>
  <si>
    <t>AAPL_opt1</t>
  </si>
  <si>
    <t>AAPL</t>
  </si>
  <si>
    <t>Apple</t>
  </si>
  <si>
    <t>MSFT_opt1</t>
  </si>
  <si>
    <t>MSFT</t>
  </si>
  <si>
    <t>Microsoft</t>
  </si>
  <si>
    <t>AVGO_opt1</t>
  </si>
  <si>
    <t>AVGO</t>
  </si>
  <si>
    <t>Broadcom</t>
  </si>
  <si>
    <t>MU_opt1</t>
  </si>
  <si>
    <t>MU</t>
  </si>
  <si>
    <t>Micron Technology</t>
  </si>
  <si>
    <t>ORCL_opt1</t>
  </si>
  <si>
    <t>ORCL</t>
  </si>
  <si>
    <t>Oracle</t>
  </si>
  <si>
    <t>AMD_opt1</t>
  </si>
  <si>
    <t>AMD</t>
  </si>
  <si>
    <t>Advanced Micro Devices</t>
  </si>
  <si>
    <t>LRCX_opt1</t>
  </si>
  <si>
    <t>LRCX</t>
  </si>
  <si>
    <t>variable</t>
  </si>
  <si>
    <t>Lam Research</t>
  </si>
  <si>
    <t>INTC_opt1</t>
  </si>
  <si>
    <t>INTC</t>
  </si>
  <si>
    <t>Intel</t>
  </si>
  <si>
    <t>CSCO_opt1</t>
  </si>
  <si>
    <t>CSCO</t>
  </si>
  <si>
    <t>Cisco</t>
  </si>
  <si>
    <t>AMAT_opt1</t>
  </si>
  <si>
    <t>AMAT</t>
  </si>
  <si>
    <t>Applied Materials</t>
  </si>
  <si>
    <t>AMAT_opt2</t>
  </si>
  <si>
    <t>150k</t>
  </si>
  <si>
    <t>KLAC_opt1</t>
  </si>
  <si>
    <t>KLAC</t>
  </si>
  <si>
    <t>KLA</t>
  </si>
  <si>
    <t>KLAC_opt2</t>
  </si>
  <si>
    <t>Annualized covariance matrix</t>
  </si>
  <si>
    <t>The Assets sheet defines the portfolio universe for the optimizer.</t>
  </si>
  <si>
    <t>Each row represents either:</t>
  </si>
  <si>
    <t>- a fixed position that is already part of the portfolio, or</t>
  </si>
  <si>
    <t>Variable positions become binary decision variables. Each variable position corresponds to one qubit: selected or not selected.</t>
  </si>
  <si>
    <t>To define several possible investment sizes for the same asset, repeat the ticker in multiple rows and enter the different position sizes or costs. Different assets may have different numbers of variable positions.</t>
  </si>
  <si>
    <t>Exact QAOA mode supports filtered export controls. This keeps Excel result files manageable by avoiding unnecessarily large exact-state output tables.</t>
  </si>
  <si>
    <t>- a variable position that the optimizer may choose.</t>
  </si>
  <si>
    <t>qubit-lab.ch helps make quantum computing more accessible to people who are not quantum physicists, with a focus on practical use cases in finance.</t>
  </si>
  <si>
    <t>The Quantum Portfolio Optimizer is a rapid quantum prototyping tool. It is designed to help users translate a portfolio optimization idea into a QUBO model, an Ising formulation, a QAOA circuit, and a simulation setup without having to build the full quantum workflow manually.</t>
  </si>
  <si>
    <t>The tool is intended for exploration, education, and early-stage prototyping. It helps users understand how a portfolio optimization problem can be represented for quantum optimization and where current simulation and hardware limits become relevant.</t>
  </si>
  <si>
    <t>The optimizer uses Approx Cost USD as the direct cost input for each row. (USD is shown, but you can also use any other currency - but stay consistent in all sheets and positions)</t>
  </si>
  <si>
    <r>
      <rPr>
        <b/>
        <sz val="11"/>
        <color theme="1"/>
        <rFont val="Calibri"/>
        <family val="2"/>
        <scheme val="minor"/>
      </rPr>
      <t>Intellectual property and usage notice:</t>
    </r>
    <r>
      <rPr>
        <sz val="11"/>
        <color theme="1"/>
        <rFont val="Calibri"/>
        <family val="2"/>
        <scheme val="minor"/>
      </rPr>
      <t xml:space="preserve">
The Quantum Portfolio Optimizer, including its methodology, workflows, software logic, documentation, templates, and related materials, is proprietary to qubit-lab.ch / Daniel Hug unless explicitly agreed otherwise in writing. The tool and any accompanying materials may not be copied, redistributed, adapted, reverse engineered, or used for third-party/customer projects without prior written permission. Further legal terms are available at qubit-lab.ch/legal.</t>
    </r>
  </si>
  <si>
    <t>Fixed positions are included automatically. They reduce the remaining available budget, are considered in return and volatility but do not become QUBO decision variables and do not require qubits.</t>
  </si>
  <si>
    <t>The AnnualizedCovariance sheet defines the covariance to be used for the optimization.</t>
  </si>
  <si>
    <t>The Settings sheet defines the various parameters for the optimization.</t>
  </si>
  <si>
    <t>only for offline version in diagnostic mode.</t>
  </si>
  <si>
    <r>
      <rPr>
        <b/>
        <i/>
        <sz val="26"/>
        <color theme="3"/>
        <rFont val="Calibri (Body)"/>
      </rPr>
      <t>Quantum Portfolio Optimizer</t>
    </r>
    <r>
      <rPr>
        <b/>
        <i/>
        <sz val="22"/>
        <color theme="3"/>
        <rFont val="Calibri"/>
        <family val="2"/>
        <scheme val="minor"/>
      </rPr>
      <t xml:space="preserve"> </t>
    </r>
    <r>
      <rPr>
        <i/>
        <sz val="18"/>
        <color theme="1"/>
        <rFont val="Calibri (Body)"/>
      </rPr>
      <t xml:space="preserve">     a rapid quantum prototyping tool by qubit-lab.ch</t>
    </r>
  </si>
  <si>
    <t>Demo Workbook</t>
  </si>
  <si>
    <t>Indicative Market Cost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</si>
</sst>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9" x14ac:knownFonts="1">
    <font>
      <sz val="11"/>
      <color theme="1"/>
      <name val="Calibri"/>
      <family val="2"/>
      <scheme val="minor"/>
    </font>
    <font>
      <b/>
      <sz val="11"/>
      <color rgb="FFFFFFFF"/>
      <name val="Calibri"/>
      <family val="2"/>
    </font>
    <font>
      <b/>
      <sz val="11"/>
      <name val="Calibri"/>
      <family val="2"/>
    </font>
    <font>
      <b/>
      <sz val="22"/>
      <color theme="3"/>
      <name val="Calibri"/>
      <family val="2"/>
      <scheme val="minor"/>
    </font>
    <font>
      <sz val="26"/>
      <color theme="3"/>
      <name val="Calibri"/>
      <family val="2"/>
      <scheme val="minor"/>
    </font>
    <font>
      <b/>
      <sz val="11"/>
      <color theme="1"/>
      <name val="Calibri"/>
      <family val="2"/>
      <scheme val="minor"/>
    </font>
    <font>
      <b/>
      <i/>
      <sz val="22"/>
      <color theme="3"/>
      <name val="Calibri"/>
      <family val="2"/>
      <scheme val="minor"/>
    </font>
    <font>
      <b/>
      <i/>
      <sz val="26"/>
      <color theme="3"/>
      <name val="Calibri (Body)"/>
    </font>
    <font>
      <i/>
      <sz val="18"/>
      <color theme="1"/>
      <name val="Calibri (Body)"/>
    </font>
  </fonts>
  <fills count="4">
    <fill>
      <patternFill patternType="none"/>
    </fill>
    <fill>
      <patternFill patternType="gray125"/>
    </fill>
    <fill>
      <patternFill patternType="solid">
        <fgColor rgb="FF1F4E78"/>
      </patternFill>
    </fill>
    <fill>
      <patternFill patternType="solid">
        <fgColor rgb="FFD9EAF7"/>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xf numFmtId="0" fontId="2" fillId="3" borderId="0" xfId="0" applyFont="1" applyFill="1"/>
    <xf numFmtId="4" fontId="0" fillId="0" borderId="0" xfId="0" applyNumberFormat="1"/>
    <xf numFmtId="164" fontId="0" fillId="0" borderId="0" xfId="0" applyNumberFormat="1"/>
    <xf numFmtId="0" fontId="3" fillId="0" borderId="0" xfId="0" applyFont="1"/>
    <xf numFmtId="0" fontId="5" fillId="0" borderId="0" xfId="0" applyFont="1"/>
    <xf numFmtId="49" fontId="1" fillId="2" borderId="0" xfId="0" applyNumberFormat="1" applyFont="1" applyFill="1" applyAlignment="1">
      <alignment vertical="center" wrapText="1"/>
    </xf>
    <xf numFmtId="49" fontId="0" fillId="0" borderId="0" xfId="0" applyNumberFormat="1" applyAlignment="1">
      <alignment vertical="center" wrapText="1"/>
    </xf>
    <xf numFmtId="49" fontId="5" fillId="0" borderId="0" xfId="0" applyNumberFormat="1" applyFont="1" applyAlignment="1">
      <alignment vertical="center" wrapText="1"/>
    </xf>
    <xf numFmtId="49" fontId="0" fillId="0" borderId="0" xfId="0" applyNumberFormat="1" applyAlignment="1">
      <alignment horizontal="left" vertical="center" wrapText="1" indent="1"/>
    </xf>
    <xf numFmtId="49" fontId="0" fillId="0" borderId="0" xfId="0" applyNumberFormat="1" applyAlignment="1">
      <alignment horizontal="left" vertical="center" wrapText="1" indent="2"/>
    </xf>
    <xf numFmtId="49" fontId="0" fillId="0" borderId="0" xfId="0" quotePrefix="1" applyNumberFormat="1" applyAlignment="1">
      <alignment horizontal="left" vertical="center" wrapText="1" indent="2"/>
    </xf>
    <xf numFmtId="49" fontId="4" fillId="0" borderId="0" xfId="0" applyNumberFormat="1" applyFont="1" applyAlignment="1">
      <alignment vertical="center" wrapText="1"/>
    </xf>
    <xf numFmtId="49" fontId="6" fillId="0" borderId="0" xfId="0" applyNumberFormat="1" applyFont="1" applyAlignment="1">
      <alignment vertical="center" wrapText="1"/>
    </xf>
    <xf numFmtId="2" fontId="0" fillId="0" borderId="0" xfId="0" applyNumberFormat="1"/>
    <xf numFmtId="0" fontId="0" fillId="0" borderId="0" xfId="0" applyAlignment="1">
      <alignment horizontal="left" vertical="center"/>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9"/>
  <sheetViews>
    <sheetView topLeftCell="A6" workbookViewId="0">
      <selection activeCell="A29" sqref="A29"/>
    </sheetView>
  </sheetViews>
  <sheetFormatPr baseColWidth="10" defaultColWidth="8.83203125" defaultRowHeight="15" x14ac:dyDescent="0.2"/>
  <cols>
    <col min="1" max="1" width="134" style="8" customWidth="1"/>
  </cols>
  <sheetData>
    <row r="1" spans="1:1" ht="16" x14ac:dyDescent="0.2">
      <c r="A1" s="7" t="s">
        <v>69</v>
      </c>
    </row>
    <row r="3" spans="1:1" s="5" customFormat="1" ht="35" x14ac:dyDescent="0.35">
      <c r="A3" s="14" t="s">
        <v>143</v>
      </c>
    </row>
    <row r="4" spans="1:1" ht="35" x14ac:dyDescent="0.2">
      <c r="A4" s="13" t="s">
        <v>144</v>
      </c>
    </row>
    <row r="6" spans="1:1" ht="16" x14ac:dyDescent="0.2">
      <c r="A6" s="8" t="s">
        <v>134</v>
      </c>
    </row>
    <row r="7" spans="1:1" ht="32" x14ac:dyDescent="0.2">
      <c r="A7" s="8" t="s">
        <v>135</v>
      </c>
    </row>
    <row r="8" spans="1:1" ht="32" x14ac:dyDescent="0.2">
      <c r="A8" s="8" t="s">
        <v>136</v>
      </c>
    </row>
    <row r="10" spans="1:1" s="6" customFormat="1" ht="16" x14ac:dyDescent="0.2">
      <c r="A10" s="9" t="s">
        <v>127</v>
      </c>
    </row>
    <row r="11" spans="1:1" ht="16" x14ac:dyDescent="0.2">
      <c r="A11" s="10" t="s">
        <v>128</v>
      </c>
    </row>
    <row r="12" spans="1:1" ht="16" x14ac:dyDescent="0.2">
      <c r="A12" s="11" t="s">
        <v>129</v>
      </c>
    </row>
    <row r="13" spans="1:1" ht="16" x14ac:dyDescent="0.2">
      <c r="A13" s="12" t="s">
        <v>133</v>
      </c>
    </row>
    <row r="14" spans="1:1" ht="32" x14ac:dyDescent="0.2">
      <c r="A14" s="10" t="s">
        <v>139</v>
      </c>
    </row>
    <row r="15" spans="1:1" ht="16" x14ac:dyDescent="0.2">
      <c r="A15" s="10" t="s">
        <v>130</v>
      </c>
    </row>
    <row r="16" spans="1:1" ht="32" x14ac:dyDescent="0.2">
      <c r="A16" s="10" t="s">
        <v>131</v>
      </c>
    </row>
    <row r="18" spans="1:1" s="6" customFormat="1" ht="16" x14ac:dyDescent="0.2">
      <c r="A18" s="9" t="s">
        <v>140</v>
      </c>
    </row>
    <row r="20" spans="1:1" s="6" customFormat="1" ht="16" x14ac:dyDescent="0.2">
      <c r="A20" s="9" t="s">
        <v>141</v>
      </c>
    </row>
    <row r="21" spans="1:1" ht="16" x14ac:dyDescent="0.2">
      <c r="A21" s="10" t="s">
        <v>132</v>
      </c>
    </row>
    <row r="23" spans="1:1" ht="32" x14ac:dyDescent="0.2">
      <c r="A23" s="8" t="s">
        <v>137</v>
      </c>
    </row>
    <row r="29" spans="1:1" ht="64" x14ac:dyDescent="0.2">
      <c r="A29" s="8" t="s">
        <v>138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N16"/>
  <sheetViews>
    <sheetView workbookViewId="0">
      <pane ySplit="2" topLeftCell="A3" activePane="bottomLeft" state="frozen"/>
      <selection activeCell="G34" sqref="G34"/>
      <selection pane="bottomLeft" activeCell="I24" sqref="I24"/>
    </sheetView>
  </sheetViews>
  <sheetFormatPr baseColWidth="10" defaultColWidth="8.83203125" defaultRowHeight="15" x14ac:dyDescent="0.2"/>
  <cols>
    <col min="1" max="1" width="18" customWidth="1"/>
    <col min="2" max="2" width="10" customWidth="1"/>
    <col min="3" max="3" width="11.83203125" bestFit="1" customWidth="1"/>
    <col min="4" max="4" width="24" customWidth="1"/>
    <col min="5" max="5" width="12" customWidth="1"/>
    <col min="6" max="6" width="14" customWidth="1"/>
    <col min="7" max="7" width="10" customWidth="1"/>
    <col min="8" max="8" width="21" customWidth="1"/>
    <col min="9" max="9" width="18" customWidth="1"/>
    <col min="10" max="13" width="16" customWidth="1"/>
    <col min="14" max="14" width="10" customWidth="1"/>
  </cols>
  <sheetData>
    <row r="1" spans="1:14" x14ac:dyDescent="0.2">
      <c r="A1" s="1" t="s">
        <v>70</v>
      </c>
    </row>
    <row r="2" spans="1:14" x14ac:dyDescent="0.2">
      <c r="A2" s="2" t="s">
        <v>71</v>
      </c>
      <c r="B2" s="2" t="s">
        <v>72</v>
      </c>
      <c r="C2" s="2" t="s">
        <v>73</v>
      </c>
      <c r="D2" s="2" t="s">
        <v>74</v>
      </c>
      <c r="E2" s="2" t="s">
        <v>75</v>
      </c>
      <c r="F2" s="2" t="s">
        <v>76</v>
      </c>
      <c r="G2" s="2" t="s">
        <v>77</v>
      </c>
      <c r="H2" s="2" t="s">
        <v>145</v>
      </c>
      <c r="I2" s="2" t="s">
        <v>78</v>
      </c>
      <c r="J2" s="2" t="s">
        <v>79</v>
      </c>
      <c r="K2" s="2" t="s">
        <v>80</v>
      </c>
      <c r="L2" s="2" t="s">
        <v>81</v>
      </c>
      <c r="M2" s="2" t="s">
        <v>82</v>
      </c>
      <c r="N2" s="2" t="s">
        <v>83</v>
      </c>
    </row>
    <row r="3" spans="1:14" x14ac:dyDescent="0.2">
      <c r="A3" t="s">
        <v>84</v>
      </c>
      <c r="B3" t="s">
        <v>85</v>
      </c>
      <c r="C3" t="s">
        <v>86</v>
      </c>
      <c r="D3" t="s">
        <v>87</v>
      </c>
      <c r="E3" t="s">
        <v>85</v>
      </c>
      <c r="F3" t="s">
        <v>88</v>
      </c>
      <c r="G3">
        <v>498</v>
      </c>
      <c r="H3" s="15">
        <f>G3*K3</f>
        <v>100040.72726440428</v>
      </c>
      <c r="I3" s="4">
        <v>0.97982399608161685</v>
      </c>
      <c r="J3" s="4">
        <v>0.34060640001041509</v>
      </c>
      <c r="K3" s="3">
        <v>200.88499450683591</v>
      </c>
      <c r="L3" s="4">
        <v>2.964268330639661E-3</v>
      </c>
      <c r="M3" s="4">
        <v>2.145618641391777E-2</v>
      </c>
      <c r="N3">
        <v>1</v>
      </c>
    </row>
    <row r="4" spans="1:14" x14ac:dyDescent="0.2">
      <c r="A4" t="s">
        <v>89</v>
      </c>
      <c r="B4" t="s">
        <v>90</v>
      </c>
      <c r="C4" t="s">
        <v>86</v>
      </c>
      <c r="D4" t="s">
        <v>91</v>
      </c>
      <c r="E4" t="s">
        <v>90</v>
      </c>
      <c r="F4" t="s">
        <v>88</v>
      </c>
      <c r="G4">
        <v>372</v>
      </c>
      <c r="H4" s="15">
        <f t="shared" ref="H4:H16" si="0">G4*K4</f>
        <v>100033.81750488281</v>
      </c>
      <c r="I4" s="4">
        <v>0.37110434464841258</v>
      </c>
      <c r="J4" s="4">
        <v>0.2356298958866713</v>
      </c>
      <c r="K4" s="3">
        <v>268.90811157226562</v>
      </c>
      <c r="L4" s="4">
        <v>1.3723963909378239E-3</v>
      </c>
      <c r="M4" s="4">
        <v>1.484328823733747E-2</v>
      </c>
      <c r="N4">
        <v>1</v>
      </c>
    </row>
    <row r="5" spans="1:14" x14ac:dyDescent="0.2">
      <c r="A5" t="s">
        <v>92</v>
      </c>
      <c r="B5" t="s">
        <v>93</v>
      </c>
      <c r="C5" t="s">
        <v>86</v>
      </c>
      <c r="D5" t="s">
        <v>94</v>
      </c>
      <c r="E5" t="s">
        <v>93</v>
      </c>
      <c r="F5" t="s">
        <v>88</v>
      </c>
      <c r="G5">
        <v>236</v>
      </c>
      <c r="H5" s="15">
        <f t="shared" si="0"/>
        <v>100143.55493164064</v>
      </c>
      <c r="I5" s="4">
        <v>0.16261249299322669</v>
      </c>
      <c r="J5" s="4">
        <v>0.2450807069084118</v>
      </c>
      <c r="K5" s="3">
        <v>424.33709716796881</v>
      </c>
      <c r="L5" s="4">
        <v>7.2239942927668113E-4</v>
      </c>
      <c r="M5" s="4">
        <v>1.543863337189446E-2</v>
      </c>
      <c r="N5">
        <v>1</v>
      </c>
    </row>
    <row r="6" spans="1:14" x14ac:dyDescent="0.2">
      <c r="A6" t="s">
        <v>95</v>
      </c>
      <c r="B6" t="s">
        <v>96</v>
      </c>
      <c r="C6" t="s">
        <v>86</v>
      </c>
      <c r="D6" t="s">
        <v>97</v>
      </c>
      <c r="E6" t="s">
        <v>96</v>
      </c>
      <c r="F6" t="s">
        <v>88</v>
      </c>
      <c r="G6">
        <v>248</v>
      </c>
      <c r="H6" s="15">
        <f t="shared" si="0"/>
        <v>99993.603027343735</v>
      </c>
      <c r="I6" s="4">
        <v>1.377138833060616</v>
      </c>
      <c r="J6" s="4">
        <v>0.42722157412426021</v>
      </c>
      <c r="K6" s="3">
        <v>403.20001220703119</v>
      </c>
      <c r="L6" s="4">
        <v>3.8272905998906741E-3</v>
      </c>
      <c r="M6" s="4">
        <v>2.691242952034141E-2</v>
      </c>
      <c r="N6">
        <v>1</v>
      </c>
    </row>
    <row r="7" spans="1:14" x14ac:dyDescent="0.2">
      <c r="A7" t="s">
        <v>98</v>
      </c>
      <c r="B7" t="s">
        <v>99</v>
      </c>
      <c r="C7" t="s">
        <v>86</v>
      </c>
      <c r="D7" t="s">
        <v>100</v>
      </c>
      <c r="E7" t="s">
        <v>99</v>
      </c>
      <c r="F7" t="s">
        <v>88</v>
      </c>
      <c r="G7">
        <v>218</v>
      </c>
      <c r="H7" s="15">
        <f t="shared" si="0"/>
        <v>99996.602661132798</v>
      </c>
      <c r="I7" s="4">
        <v>5.6831100173183851</v>
      </c>
      <c r="J7" s="4">
        <v>0.58960561770485431</v>
      </c>
      <c r="K7" s="3">
        <v>458.70001220703119</v>
      </c>
      <c r="L7" s="4">
        <v>8.3094829445777337E-3</v>
      </c>
      <c r="M7" s="4">
        <v>3.7141662763182523E-2</v>
      </c>
      <c r="N7">
        <v>1</v>
      </c>
    </row>
    <row r="8" spans="1:14" x14ac:dyDescent="0.2">
      <c r="A8" t="s">
        <v>101</v>
      </c>
      <c r="B8" t="s">
        <v>102</v>
      </c>
      <c r="C8" t="s">
        <v>86</v>
      </c>
      <c r="D8" t="s">
        <v>103</v>
      </c>
      <c r="E8" t="s">
        <v>102</v>
      </c>
      <c r="F8" t="s">
        <v>88</v>
      </c>
      <c r="G8">
        <v>550</v>
      </c>
      <c r="H8" s="15">
        <f t="shared" si="0"/>
        <v>99910.249328613296</v>
      </c>
      <c r="I8" s="4">
        <v>0.42650854013064882</v>
      </c>
      <c r="J8" s="4">
        <v>0.61753948025333527</v>
      </c>
      <c r="K8" s="3">
        <v>181.6549987792969</v>
      </c>
      <c r="L8" s="4">
        <v>2.1242869722662159E-3</v>
      </c>
      <c r="M8" s="4">
        <v>3.8901330702723988E-2</v>
      </c>
      <c r="N8">
        <v>1</v>
      </c>
    </row>
    <row r="9" spans="1:14" x14ac:dyDescent="0.2">
      <c r="A9" t="s">
        <v>104</v>
      </c>
      <c r="B9" t="s">
        <v>105</v>
      </c>
      <c r="C9" t="s">
        <v>86</v>
      </c>
      <c r="D9" t="s">
        <v>106</v>
      </c>
      <c r="E9" t="s">
        <v>105</v>
      </c>
      <c r="F9" t="s">
        <v>88</v>
      </c>
      <c r="G9">
        <v>361</v>
      </c>
      <c r="H9" s="15">
        <f t="shared" si="0"/>
        <v>99903.136474609375</v>
      </c>
      <c r="I9" s="4">
        <v>2.1627427455357142</v>
      </c>
      <c r="J9" s="4">
        <v>0.58172846588415483</v>
      </c>
      <c r="K9" s="3">
        <v>276.739990234375</v>
      </c>
      <c r="L9" s="4">
        <v>5.2734631067315064E-3</v>
      </c>
      <c r="M9" s="4">
        <v>3.6645448840395133E-2</v>
      </c>
      <c r="N9">
        <v>1</v>
      </c>
    </row>
    <row r="10" spans="1:14" x14ac:dyDescent="0.2">
      <c r="A10" t="s">
        <v>107</v>
      </c>
      <c r="B10" t="s">
        <v>108</v>
      </c>
      <c r="C10" t="s">
        <v>109</v>
      </c>
      <c r="D10" t="s">
        <v>110</v>
      </c>
      <c r="E10" t="s">
        <v>108</v>
      </c>
      <c r="F10" t="s">
        <v>88</v>
      </c>
      <c r="G10">
        <v>378</v>
      </c>
      <c r="H10" s="15">
        <f t="shared" si="0"/>
        <v>99895.947692871094</v>
      </c>
      <c r="I10" s="4">
        <v>3.1752095572005201</v>
      </c>
      <c r="J10" s="4">
        <v>0.4870964618556749</v>
      </c>
      <c r="K10" s="3">
        <v>264.27499389648438</v>
      </c>
      <c r="L10" s="4">
        <v>6.20066244346447E-3</v>
      </c>
      <c r="M10" s="4">
        <v>3.0684192918323219E-2</v>
      </c>
      <c r="N10">
        <v>1</v>
      </c>
    </row>
    <row r="11" spans="1:14" x14ac:dyDescent="0.2">
      <c r="A11" t="s">
        <v>111</v>
      </c>
      <c r="B11" t="s">
        <v>112</v>
      </c>
      <c r="C11" t="s">
        <v>109</v>
      </c>
      <c r="D11" t="s">
        <v>113</v>
      </c>
      <c r="E11" t="s">
        <v>112</v>
      </c>
      <c r="F11" t="s">
        <v>88</v>
      </c>
      <c r="G11">
        <v>1440</v>
      </c>
      <c r="H11" s="15">
        <f t="shared" si="0"/>
        <v>100022.11303710938</v>
      </c>
      <c r="I11" s="4">
        <v>2.6692973904085662</v>
      </c>
      <c r="J11" s="4">
        <v>0.63738904322725976</v>
      </c>
      <c r="K11" s="3">
        <v>69.459800720214844</v>
      </c>
      <c r="L11" s="4">
        <v>6.0018262975170501E-3</v>
      </c>
      <c r="M11" s="4">
        <v>4.0151735637541132E-2</v>
      </c>
      <c r="N11">
        <v>1</v>
      </c>
    </row>
    <row r="12" spans="1:14" x14ac:dyDescent="0.2">
      <c r="A12" t="s">
        <v>114</v>
      </c>
      <c r="B12" t="s">
        <v>115</v>
      </c>
      <c r="C12" t="s">
        <v>109</v>
      </c>
      <c r="D12" t="s">
        <v>116</v>
      </c>
      <c r="E12" t="s">
        <v>115</v>
      </c>
      <c r="F12" t="s">
        <v>88</v>
      </c>
      <c r="G12">
        <v>1174</v>
      </c>
      <c r="H12" s="15">
        <f t="shared" si="0"/>
        <v>100007.18713378906</v>
      </c>
      <c r="I12" s="4">
        <v>0.56287192221311599</v>
      </c>
      <c r="J12" s="4">
        <v>0.25270720531704088</v>
      </c>
      <c r="K12" s="3">
        <v>85.18499755859375</v>
      </c>
      <c r="L12" s="4">
        <v>1.916471750970955E-3</v>
      </c>
      <c r="M12" s="4">
        <v>1.5919057613881661E-2</v>
      </c>
      <c r="N12">
        <v>1</v>
      </c>
    </row>
    <row r="13" spans="1:14" x14ac:dyDescent="0.2">
      <c r="A13" t="s">
        <v>117</v>
      </c>
      <c r="B13" t="s">
        <v>118</v>
      </c>
      <c r="C13" t="s">
        <v>109</v>
      </c>
      <c r="D13" t="s">
        <v>119</v>
      </c>
      <c r="E13" t="s">
        <v>118</v>
      </c>
      <c r="F13" t="s">
        <v>88</v>
      </c>
      <c r="G13">
        <v>254</v>
      </c>
      <c r="H13" s="15">
        <f t="shared" si="0"/>
        <v>100082.34844970703</v>
      </c>
      <c r="I13" s="4">
        <v>1.8921131219043661</v>
      </c>
      <c r="J13" s="4">
        <v>0.44828446894121021</v>
      </c>
      <c r="K13" s="3">
        <v>394.02499389648438</v>
      </c>
      <c r="L13" s="4">
        <v>4.6569251650037911E-3</v>
      </c>
      <c r="M13" s="4">
        <v>2.8239267176930968E-2</v>
      </c>
      <c r="N13">
        <v>1</v>
      </c>
    </row>
    <row r="14" spans="1:14" x14ac:dyDescent="0.2">
      <c r="A14" t="s">
        <v>120</v>
      </c>
      <c r="B14" t="s">
        <v>118</v>
      </c>
      <c r="C14" t="s">
        <v>109</v>
      </c>
      <c r="D14" t="s">
        <v>119</v>
      </c>
      <c r="E14" t="s">
        <v>118</v>
      </c>
      <c r="F14" t="s">
        <v>121</v>
      </c>
      <c r="G14">
        <v>381</v>
      </c>
      <c r="H14" s="15">
        <f t="shared" si="0"/>
        <v>150123.52267456055</v>
      </c>
      <c r="I14" s="4">
        <v>1.8921131219043661</v>
      </c>
      <c r="J14" s="4">
        <v>0.44828446894121021</v>
      </c>
      <c r="K14" s="3">
        <v>394.02499389648438</v>
      </c>
      <c r="L14" s="4">
        <v>4.6569251650037911E-3</v>
      </c>
      <c r="M14" s="4">
        <v>2.8239267176930968E-2</v>
      </c>
      <c r="N14">
        <v>1</v>
      </c>
    </row>
    <row r="15" spans="1:14" x14ac:dyDescent="0.2">
      <c r="A15" t="s">
        <v>122</v>
      </c>
      <c r="B15" t="s">
        <v>123</v>
      </c>
      <c r="C15" t="s">
        <v>109</v>
      </c>
      <c r="D15" t="s">
        <v>124</v>
      </c>
      <c r="E15" t="s">
        <v>123</v>
      </c>
      <c r="F15" t="s">
        <v>88</v>
      </c>
      <c r="G15">
        <v>57</v>
      </c>
      <c r="H15" s="15">
        <f t="shared" si="0"/>
        <v>99818.9677734375</v>
      </c>
      <c r="I15" s="4">
        <v>1.7812172271737801</v>
      </c>
      <c r="J15" s="4">
        <v>0.44585804260397288</v>
      </c>
      <c r="K15" s="3">
        <v>1751.2099609375</v>
      </c>
      <c r="L15" s="4">
        <v>4.4969712258770989E-3</v>
      </c>
      <c r="M15" s="4">
        <v>2.8086416684956039E-2</v>
      </c>
      <c r="N15">
        <v>1</v>
      </c>
    </row>
    <row r="16" spans="1:14" x14ac:dyDescent="0.2">
      <c r="A16" t="s">
        <v>125</v>
      </c>
      <c r="B16" t="s">
        <v>123</v>
      </c>
      <c r="C16" t="s">
        <v>109</v>
      </c>
      <c r="D16" t="s">
        <v>124</v>
      </c>
      <c r="E16" t="s">
        <v>123</v>
      </c>
      <c r="F16" t="s">
        <v>121</v>
      </c>
      <c r="G16">
        <v>86</v>
      </c>
      <c r="H16" s="15">
        <f t="shared" si="0"/>
        <v>150604.056640625</v>
      </c>
      <c r="I16" s="4">
        <v>1.7812172271737801</v>
      </c>
      <c r="J16" s="4">
        <v>0.44585804260397288</v>
      </c>
      <c r="K16" s="3">
        <v>1751.2099609375</v>
      </c>
      <c r="L16" s="4">
        <v>4.4969712258770989E-3</v>
      </c>
      <c r="M16" s="4">
        <v>2.8086416684956039E-2</v>
      </c>
      <c r="N16">
        <v>1</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M14"/>
  <sheetViews>
    <sheetView workbookViewId="0">
      <selection activeCell="G34" sqref="G34"/>
    </sheetView>
  </sheetViews>
  <sheetFormatPr baseColWidth="10" defaultColWidth="8.83203125" defaultRowHeight="15" x14ac:dyDescent="0.2"/>
  <cols>
    <col min="1" max="13" width="13" customWidth="1"/>
  </cols>
  <sheetData>
    <row r="1" spans="1:13" x14ac:dyDescent="0.2">
      <c r="A1" s="1" t="s">
        <v>126</v>
      </c>
    </row>
    <row r="2" spans="1:13" x14ac:dyDescent="0.2">
      <c r="B2" s="2" t="s">
        <v>90</v>
      </c>
      <c r="C2" s="2" t="s">
        <v>118</v>
      </c>
      <c r="D2" s="2" t="s">
        <v>105</v>
      </c>
      <c r="E2" s="2" t="s">
        <v>96</v>
      </c>
      <c r="F2" s="2" t="s">
        <v>115</v>
      </c>
      <c r="G2" s="2" t="s">
        <v>112</v>
      </c>
      <c r="H2" s="2" t="s">
        <v>123</v>
      </c>
      <c r="I2" s="2" t="s">
        <v>108</v>
      </c>
      <c r="J2" s="2" t="s">
        <v>93</v>
      </c>
      <c r="K2" s="2" t="s">
        <v>99</v>
      </c>
      <c r="L2" s="2" t="s">
        <v>85</v>
      </c>
      <c r="M2" s="2" t="s">
        <v>102</v>
      </c>
    </row>
    <row r="3" spans="1:13" x14ac:dyDescent="0.2">
      <c r="A3" s="2" t="s">
        <v>90</v>
      </c>
      <c r="B3">
        <v>5.5521447835563578E-2</v>
      </c>
      <c r="C3">
        <v>2.6831122177774652E-2</v>
      </c>
      <c r="D3">
        <v>2.0462731781641309E-2</v>
      </c>
      <c r="E3">
        <v>2.433165746183906E-2</v>
      </c>
      <c r="F3">
        <v>1.984649410323382E-2</v>
      </c>
      <c r="G3">
        <v>2.5748213732457489E-2</v>
      </c>
      <c r="H3">
        <v>2.787677963322201E-2</v>
      </c>
      <c r="I3">
        <v>3.3058362423824018E-2</v>
      </c>
      <c r="J3">
        <v>1.001561309981959E-2</v>
      </c>
      <c r="K3">
        <v>2.494498662802834E-2</v>
      </c>
      <c r="L3">
        <v>2.3607124548272979E-2</v>
      </c>
      <c r="M3">
        <v>-1.878408050347844E-3</v>
      </c>
    </row>
    <row r="4" spans="1:13" x14ac:dyDescent="0.2">
      <c r="A4" s="2" t="s">
        <v>118</v>
      </c>
      <c r="B4">
        <v>2.6831122177774652E-2</v>
      </c>
      <c r="C4">
        <v>0.2009589650939029</v>
      </c>
      <c r="D4">
        <v>0.1196335199204443</v>
      </c>
      <c r="E4">
        <v>8.8637565064630539E-2</v>
      </c>
      <c r="F4">
        <v>4.4307850266714292E-2</v>
      </c>
      <c r="G4">
        <v>0.1199158487389564</v>
      </c>
      <c r="H4">
        <v>0.1702117917464292</v>
      </c>
      <c r="I4">
        <v>0.18937444963799541</v>
      </c>
      <c r="J4">
        <v>1.32030463538247E-2</v>
      </c>
      <c r="K4">
        <v>0.169331066361808</v>
      </c>
      <c r="L4">
        <v>7.6709489212003795E-2</v>
      </c>
      <c r="M4">
        <v>5.8142910529094947E-2</v>
      </c>
    </row>
    <row r="5" spans="1:13" x14ac:dyDescent="0.2">
      <c r="A5" s="2" t="s">
        <v>105</v>
      </c>
      <c r="B5">
        <v>2.0462731781641309E-2</v>
      </c>
      <c r="C5">
        <v>0.1196335199204443</v>
      </c>
      <c r="D5">
        <v>0.33840800801993243</v>
      </c>
      <c r="E5">
        <v>9.1337536166432962E-2</v>
      </c>
      <c r="F5">
        <v>4.7037298429203928E-2</v>
      </c>
      <c r="G5">
        <v>0.1133767099766646</v>
      </c>
      <c r="H5">
        <v>0.1227837812180918</v>
      </c>
      <c r="I5">
        <v>0.14036597741059981</v>
      </c>
      <c r="J5">
        <v>3.5343012867852443E-2</v>
      </c>
      <c r="K5">
        <v>0.15225258072800521</v>
      </c>
      <c r="L5">
        <v>0.1028160040004298</v>
      </c>
      <c r="M5">
        <v>8.8665292784254404E-2</v>
      </c>
    </row>
    <row r="6" spans="1:13" x14ac:dyDescent="0.2">
      <c r="A6" s="2" t="s">
        <v>96</v>
      </c>
      <c r="B6">
        <v>2.433165746183906E-2</v>
      </c>
      <c r="C6">
        <v>8.8637565064630539E-2</v>
      </c>
      <c r="D6">
        <v>9.1337536166432962E-2</v>
      </c>
      <c r="E6">
        <v>0.18251827339721061</v>
      </c>
      <c r="F6">
        <v>2.929459493941574E-2</v>
      </c>
      <c r="G6">
        <v>7.7415196967854316E-2</v>
      </c>
      <c r="H6">
        <v>9.3938353960870816E-2</v>
      </c>
      <c r="I6">
        <v>0.1075747883308036</v>
      </c>
      <c r="J6">
        <v>3.6308563095861619E-2</v>
      </c>
      <c r="K6">
        <v>0.1126608153256079</v>
      </c>
      <c r="L6">
        <v>8.6848562242737792E-2</v>
      </c>
      <c r="M6">
        <v>0.13133945534118871</v>
      </c>
    </row>
    <row r="7" spans="1:13" x14ac:dyDescent="0.2">
      <c r="A7" s="2" t="s">
        <v>115</v>
      </c>
      <c r="B7">
        <v>1.984649410323382E-2</v>
      </c>
      <c r="C7">
        <v>4.4307850266714292E-2</v>
      </c>
      <c r="D7">
        <v>4.7037298429203928E-2</v>
      </c>
      <c r="E7">
        <v>2.929459493941574E-2</v>
      </c>
      <c r="F7">
        <v>6.3860931619149075E-2</v>
      </c>
      <c r="G7">
        <v>3.2979711107051828E-2</v>
      </c>
      <c r="H7">
        <v>3.7281529953317183E-2</v>
      </c>
      <c r="I7">
        <v>4.03745518470894E-2</v>
      </c>
      <c r="J7">
        <v>1.2939513447293161E-2</v>
      </c>
      <c r="K7">
        <v>3.7524701153022262E-2</v>
      </c>
      <c r="L7">
        <v>2.612626499388725E-2</v>
      </c>
      <c r="M7">
        <v>2.3989126430550661E-2</v>
      </c>
    </row>
    <row r="8" spans="1:13" x14ac:dyDescent="0.2">
      <c r="A8" s="2" t="s">
        <v>112</v>
      </c>
      <c r="B8">
        <v>2.5748213732457489E-2</v>
      </c>
      <c r="C8">
        <v>0.1199158487389564</v>
      </c>
      <c r="D8">
        <v>0.1133767099766646</v>
      </c>
      <c r="E8">
        <v>7.7415196967854316E-2</v>
      </c>
      <c r="F8">
        <v>3.2979711107051828E-2</v>
      </c>
      <c r="G8">
        <v>0.40626479242616131</v>
      </c>
      <c r="H8">
        <v>0.1133682805624376</v>
      </c>
      <c r="I8">
        <v>0.13646420772034221</v>
      </c>
      <c r="J8">
        <v>8.3005287794200994E-3</v>
      </c>
      <c r="K8">
        <v>0.15924766019811229</v>
      </c>
      <c r="L8">
        <v>6.0050459606149569E-2</v>
      </c>
      <c r="M8">
        <v>3.7855284067268083E-2</v>
      </c>
    </row>
    <row r="9" spans="1:13" x14ac:dyDescent="0.2">
      <c r="A9" s="2" t="s">
        <v>123</v>
      </c>
      <c r="B9">
        <v>2.787677963322201E-2</v>
      </c>
      <c r="C9">
        <v>0.1702117917464292</v>
      </c>
      <c r="D9">
        <v>0.1227837812180918</v>
      </c>
      <c r="E9">
        <v>9.3938353960870816E-2</v>
      </c>
      <c r="F9">
        <v>3.7281529953317183E-2</v>
      </c>
      <c r="G9">
        <v>0.1133682805624376</v>
      </c>
      <c r="H9">
        <v>0.19878939415464611</v>
      </c>
      <c r="I9">
        <v>0.18894679900517691</v>
      </c>
      <c r="J9">
        <v>1.332379892671556E-2</v>
      </c>
      <c r="K9">
        <v>0.16318304385533969</v>
      </c>
      <c r="L9">
        <v>7.9823748200194E-2</v>
      </c>
      <c r="M9">
        <v>6.2640337772897625E-2</v>
      </c>
    </row>
    <row r="10" spans="1:13" x14ac:dyDescent="0.2">
      <c r="A10" s="2" t="s">
        <v>108</v>
      </c>
      <c r="B10">
        <v>3.3058362423824018E-2</v>
      </c>
      <c r="C10">
        <v>0.18937444963799541</v>
      </c>
      <c r="D10">
        <v>0.14036597741059981</v>
      </c>
      <c r="E10">
        <v>0.1075747883308036</v>
      </c>
      <c r="F10">
        <v>4.03745518470894E-2</v>
      </c>
      <c r="G10">
        <v>0.13646420772034221</v>
      </c>
      <c r="H10">
        <v>0.18894679900517691</v>
      </c>
      <c r="I10">
        <v>0.2372629631523169</v>
      </c>
      <c r="J10">
        <v>1.6461552937424771E-2</v>
      </c>
      <c r="K10">
        <v>0.21472759063740909</v>
      </c>
      <c r="L10">
        <v>9.0989962775427882E-2</v>
      </c>
      <c r="M10">
        <v>6.3036328571026534E-2</v>
      </c>
    </row>
    <row r="11" spans="1:13" x14ac:dyDescent="0.2">
      <c r="A11" s="2" t="s">
        <v>93</v>
      </c>
      <c r="B11">
        <v>1.001561309981959E-2</v>
      </c>
      <c r="C11">
        <v>1.32030463538247E-2</v>
      </c>
      <c r="D11">
        <v>3.5343012867852443E-2</v>
      </c>
      <c r="E11">
        <v>3.6308563095861619E-2</v>
      </c>
      <c r="F11">
        <v>1.2939513447293161E-2</v>
      </c>
      <c r="G11">
        <v>8.3005287794200994E-3</v>
      </c>
      <c r="H11">
        <v>1.332379892671556E-2</v>
      </c>
      <c r="I11">
        <v>1.6461552937424771E-2</v>
      </c>
      <c r="J11">
        <v>6.0064552898726829E-2</v>
      </c>
      <c r="K11">
        <v>2.509246521112948E-2</v>
      </c>
      <c r="L11">
        <v>3.5013134388016363E-2</v>
      </c>
      <c r="M11">
        <v>5.5773090930575968E-2</v>
      </c>
    </row>
    <row r="12" spans="1:13" x14ac:dyDescent="0.2">
      <c r="A12" s="2" t="s">
        <v>99</v>
      </c>
      <c r="B12">
        <v>2.494498662802834E-2</v>
      </c>
      <c r="C12">
        <v>0.169331066361808</v>
      </c>
      <c r="D12">
        <v>0.15225258072800521</v>
      </c>
      <c r="E12">
        <v>0.1126608153256079</v>
      </c>
      <c r="F12">
        <v>3.7524701153022262E-2</v>
      </c>
      <c r="G12">
        <v>0.15924766019811229</v>
      </c>
      <c r="H12">
        <v>0.16318304385533969</v>
      </c>
      <c r="I12">
        <v>0.21472759063740909</v>
      </c>
      <c r="J12">
        <v>2.509246521112948E-2</v>
      </c>
      <c r="K12">
        <v>0.34763478442912288</v>
      </c>
      <c r="L12">
        <v>9.7429930547474883E-2</v>
      </c>
      <c r="M12">
        <v>8.3011259915602945E-2</v>
      </c>
    </row>
    <row r="13" spans="1:13" x14ac:dyDescent="0.2">
      <c r="A13" s="2" t="s">
        <v>85</v>
      </c>
      <c r="B13">
        <v>2.3607124548272979E-2</v>
      </c>
      <c r="C13">
        <v>7.6709489212003795E-2</v>
      </c>
      <c r="D13">
        <v>0.1028160040004298</v>
      </c>
      <c r="E13">
        <v>8.6848562242737792E-2</v>
      </c>
      <c r="F13">
        <v>2.612626499388725E-2</v>
      </c>
      <c r="G13">
        <v>6.0050459606149569E-2</v>
      </c>
      <c r="H13">
        <v>7.9823748200194E-2</v>
      </c>
      <c r="I13">
        <v>9.0989962775427882E-2</v>
      </c>
      <c r="J13">
        <v>3.5013134388016363E-2</v>
      </c>
      <c r="K13">
        <v>9.7429930547474883E-2</v>
      </c>
      <c r="L13">
        <v>0.11601271972805489</v>
      </c>
      <c r="M13">
        <v>8.6626537870910708E-2</v>
      </c>
    </row>
    <row r="14" spans="1:13" x14ac:dyDescent="0.2">
      <c r="A14" s="2" t="s">
        <v>102</v>
      </c>
      <c r="B14">
        <v>-1.878408050347844E-3</v>
      </c>
      <c r="C14">
        <v>5.8142910529094947E-2</v>
      </c>
      <c r="D14">
        <v>8.8665292784254404E-2</v>
      </c>
      <c r="E14">
        <v>0.13133945534118871</v>
      </c>
      <c r="F14">
        <v>2.3989126430550661E-2</v>
      </c>
      <c r="G14">
        <v>3.7855284067268083E-2</v>
      </c>
      <c r="H14">
        <v>6.2640337772897625E-2</v>
      </c>
      <c r="I14">
        <v>6.3036328571026534E-2</v>
      </c>
      <c r="J14">
        <v>5.5773090930575968E-2</v>
      </c>
      <c r="K14">
        <v>8.3011259915602945E-2</v>
      </c>
      <c r="L14">
        <v>8.6626537870910708E-2</v>
      </c>
      <c r="M14">
        <v>0.3813550096715595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C38"/>
  <sheetViews>
    <sheetView tabSelected="1" workbookViewId="0">
      <pane ySplit="2" topLeftCell="A3" activePane="bottomLeft" state="frozen"/>
      <selection activeCell="G34" sqref="G34"/>
      <selection pane="bottomLeft" activeCell="B23" sqref="B23"/>
    </sheetView>
  </sheetViews>
  <sheetFormatPr baseColWidth="10" defaultColWidth="8.83203125" defaultRowHeight="15" x14ac:dyDescent="0.2"/>
  <cols>
    <col min="1" max="1" width="38" customWidth="1"/>
    <col min="2" max="2" width="18" customWidth="1"/>
    <col min="3" max="3" width="78" customWidth="1"/>
  </cols>
  <sheetData>
    <row r="1" spans="1:3" x14ac:dyDescent="0.2">
      <c r="A1" s="1" t="s">
        <v>0</v>
      </c>
    </row>
    <row r="2" spans="1:3" x14ac:dyDescent="0.2">
      <c r="A2" s="2" t="s">
        <v>1</v>
      </c>
      <c r="B2" s="2" t="s">
        <v>2</v>
      </c>
      <c r="C2" s="2" t="s">
        <v>3</v>
      </c>
    </row>
    <row r="3" spans="1:3" x14ac:dyDescent="0.2">
      <c r="A3" t="s">
        <v>4</v>
      </c>
      <c r="B3">
        <v>1000000</v>
      </c>
      <c r="C3" t="s">
        <v>5</v>
      </c>
    </row>
    <row r="4" spans="1:3" x14ac:dyDescent="0.2">
      <c r="A4" t="s">
        <v>6</v>
      </c>
      <c r="B4">
        <v>0.04</v>
      </c>
      <c r="C4" t="s">
        <v>7</v>
      </c>
    </row>
    <row r="5" spans="1:3" x14ac:dyDescent="0.2">
      <c r="A5" t="s">
        <v>8</v>
      </c>
      <c r="B5">
        <v>50</v>
      </c>
      <c r="C5" t="s">
        <v>9</v>
      </c>
    </row>
    <row r="6" spans="1:3" x14ac:dyDescent="0.2">
      <c r="A6" t="s">
        <v>10</v>
      </c>
      <c r="B6">
        <v>6</v>
      </c>
      <c r="C6" t="s">
        <v>11</v>
      </c>
    </row>
    <row r="7" spans="1:3" x14ac:dyDescent="0.2">
      <c r="A7" t="s">
        <v>12</v>
      </c>
      <c r="B7">
        <v>0</v>
      </c>
      <c r="C7" t="s">
        <v>13</v>
      </c>
    </row>
    <row r="8" spans="1:3" x14ac:dyDescent="0.2">
      <c r="A8" t="s">
        <v>14</v>
      </c>
      <c r="B8">
        <v>20</v>
      </c>
      <c r="C8" t="s">
        <v>15</v>
      </c>
    </row>
    <row r="9" spans="1:3" x14ac:dyDescent="0.2">
      <c r="A9" t="s">
        <v>16</v>
      </c>
      <c r="B9">
        <v>1</v>
      </c>
      <c r="C9" t="s">
        <v>17</v>
      </c>
    </row>
    <row r="10" spans="1:3" x14ac:dyDescent="0.2">
      <c r="A10" t="s">
        <v>18</v>
      </c>
      <c r="B10">
        <v>6</v>
      </c>
      <c r="C10" t="s">
        <v>19</v>
      </c>
    </row>
    <row r="11" spans="1:3" x14ac:dyDescent="0.2">
      <c r="A11" t="s">
        <v>20</v>
      </c>
      <c r="B11">
        <v>100</v>
      </c>
      <c r="C11" t="s">
        <v>21</v>
      </c>
    </row>
    <row r="12" spans="1:3" x14ac:dyDescent="0.2">
      <c r="A12" t="s">
        <v>22</v>
      </c>
      <c r="B12">
        <v>4096</v>
      </c>
      <c r="C12" t="s">
        <v>23</v>
      </c>
    </row>
    <row r="13" spans="1:3" x14ac:dyDescent="0.2">
      <c r="A13" t="s">
        <v>24</v>
      </c>
      <c r="B13">
        <v>24</v>
      </c>
      <c r="C13" t="s">
        <v>25</v>
      </c>
    </row>
    <row r="14" spans="1:3" x14ac:dyDescent="0.2">
      <c r="A14" t="s">
        <v>26</v>
      </c>
      <c r="B14">
        <v>24</v>
      </c>
      <c r="C14" t="s">
        <v>27</v>
      </c>
    </row>
    <row r="15" spans="1:3" x14ac:dyDescent="0.2">
      <c r="A15" t="s">
        <v>28</v>
      </c>
      <c r="B15" t="s">
        <v>29</v>
      </c>
      <c r="C15" t="s">
        <v>30</v>
      </c>
    </row>
    <row r="16" spans="1:3" x14ac:dyDescent="0.2">
      <c r="A16" t="s">
        <v>31</v>
      </c>
      <c r="B16">
        <v>9.9999999999999998E-13</v>
      </c>
      <c r="C16" t="s">
        <v>32</v>
      </c>
    </row>
    <row r="17" spans="1:3" x14ac:dyDescent="0.2">
      <c r="A17" t="s">
        <v>33</v>
      </c>
      <c r="B17">
        <v>5000</v>
      </c>
      <c r="C17" t="s">
        <v>34</v>
      </c>
    </row>
    <row r="18" spans="1:3" x14ac:dyDescent="0.2">
      <c r="A18" t="s">
        <v>35</v>
      </c>
      <c r="B18">
        <v>0</v>
      </c>
      <c r="C18" t="s">
        <v>36</v>
      </c>
    </row>
    <row r="19" spans="1:3" x14ac:dyDescent="0.2">
      <c r="A19" t="s">
        <v>37</v>
      </c>
      <c r="B19">
        <v>1000000</v>
      </c>
      <c r="C19" t="s">
        <v>38</v>
      </c>
    </row>
    <row r="20" spans="1:3" x14ac:dyDescent="0.2">
      <c r="A20" t="s">
        <v>39</v>
      </c>
      <c r="B20" t="s">
        <v>40</v>
      </c>
      <c r="C20" t="s">
        <v>41</v>
      </c>
    </row>
    <row r="21" spans="1:3" x14ac:dyDescent="0.2">
      <c r="A21" t="s">
        <v>42</v>
      </c>
      <c r="B21">
        <v>1</v>
      </c>
      <c r="C21" t="s">
        <v>43</v>
      </c>
    </row>
    <row r="22" spans="1:3" x14ac:dyDescent="0.2">
      <c r="A22" t="s">
        <v>44</v>
      </c>
      <c r="B22">
        <v>30</v>
      </c>
      <c r="C22" t="s">
        <v>45</v>
      </c>
    </row>
    <row r="23" spans="1:3" x14ac:dyDescent="0.2">
      <c r="A23" t="s">
        <v>46</v>
      </c>
      <c r="B23">
        <v>50</v>
      </c>
      <c r="C23" t="s">
        <v>47</v>
      </c>
    </row>
    <row r="24" spans="1:3" x14ac:dyDescent="0.2">
      <c r="A24" t="s">
        <v>48</v>
      </c>
      <c r="B24">
        <v>40</v>
      </c>
      <c r="C24" t="s">
        <v>49</v>
      </c>
    </row>
    <row r="25" spans="1:3" x14ac:dyDescent="0.2">
      <c r="A25" t="s">
        <v>50</v>
      </c>
      <c r="B25">
        <v>200000</v>
      </c>
      <c r="C25" t="s">
        <v>51</v>
      </c>
    </row>
    <row r="26" spans="1:3" x14ac:dyDescent="0.2">
      <c r="A26" t="s">
        <v>52</v>
      </c>
      <c r="B26">
        <v>50</v>
      </c>
      <c r="C26" t="s">
        <v>53</v>
      </c>
    </row>
    <row r="27" spans="1:3" x14ac:dyDescent="0.2">
      <c r="A27" t="s">
        <v>54</v>
      </c>
      <c r="B27">
        <v>50</v>
      </c>
      <c r="C27" t="s">
        <v>55</v>
      </c>
    </row>
    <row r="28" spans="1:3" x14ac:dyDescent="0.2">
      <c r="A28" t="s">
        <v>56</v>
      </c>
      <c r="B28">
        <v>50</v>
      </c>
      <c r="C28" t="s">
        <v>57</v>
      </c>
    </row>
    <row r="29" spans="1:3" x14ac:dyDescent="0.2">
      <c r="A29" t="s">
        <v>58</v>
      </c>
      <c r="B29">
        <v>42</v>
      </c>
      <c r="C29" t="s">
        <v>59</v>
      </c>
    </row>
    <row r="30" spans="1:3" x14ac:dyDescent="0.2">
      <c r="A30" t="s">
        <v>60</v>
      </c>
      <c r="B30">
        <v>3</v>
      </c>
    </row>
    <row r="31" spans="1:3" x14ac:dyDescent="0.2">
      <c r="A31" t="s">
        <v>61</v>
      </c>
      <c r="B31">
        <v>1</v>
      </c>
    </row>
    <row r="32" spans="1:3" x14ac:dyDescent="0.2">
      <c r="A32" t="s">
        <v>62</v>
      </c>
      <c r="B32">
        <v>0.05</v>
      </c>
    </row>
    <row r="33" spans="1:3" x14ac:dyDescent="0.2">
      <c r="A33" t="s">
        <v>63</v>
      </c>
      <c r="B33">
        <v>0</v>
      </c>
      <c r="C33" s="16" t="s">
        <v>142</v>
      </c>
    </row>
    <row r="34" spans="1:3" x14ac:dyDescent="0.2">
      <c r="A34" t="s">
        <v>64</v>
      </c>
      <c r="B34">
        <v>0</v>
      </c>
      <c r="C34" s="16"/>
    </row>
    <row r="35" spans="1:3" x14ac:dyDescent="0.2">
      <c r="A35" t="s">
        <v>65</v>
      </c>
      <c r="B35">
        <v>16</v>
      </c>
      <c r="C35" s="16"/>
    </row>
    <row r="36" spans="1:3" x14ac:dyDescent="0.2">
      <c r="A36" t="s">
        <v>66</v>
      </c>
      <c r="B36">
        <v>0</v>
      </c>
      <c r="C36" s="16"/>
    </row>
    <row r="37" spans="1:3" x14ac:dyDescent="0.2">
      <c r="A37" t="s">
        <v>67</v>
      </c>
      <c r="B37">
        <v>0</v>
      </c>
      <c r="C37" s="16"/>
    </row>
    <row r="38" spans="1:3" x14ac:dyDescent="0.2">
      <c r="A38" t="s">
        <v>68</v>
      </c>
      <c r="B38">
        <v>16</v>
      </c>
      <c r="C38" s="16"/>
    </row>
  </sheetData>
  <mergeCells count="1">
    <mergeCell ref="C33:C3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ReadMe</vt:lpstr>
      <vt:lpstr>Assets</vt:lpstr>
      <vt:lpstr>AnnualizedCovariance</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Hug</cp:lastModifiedBy>
  <dcterms:created xsi:type="dcterms:W3CDTF">2026-04-17T13:59:08Z</dcterms:created>
  <dcterms:modified xsi:type="dcterms:W3CDTF">2026-05-02T22:10:01Z</dcterms:modified>
</cp:coreProperties>
</file>